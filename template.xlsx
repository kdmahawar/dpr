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IC/Desktop/Daily Production sales reports/Jan to Dec 2026/Jan 2026/"/>
    </mc:Choice>
  </mc:AlternateContent>
  <xr:revisionPtr revIDLastSave="0" documentId="13_ncr:1_{87E53B79-A4E0-B543-A427-6259CDFFD6A7}" xr6:coauthVersionLast="47" xr6:coauthVersionMax="47" xr10:uidLastSave="{00000000-0000-0000-0000-000000000000}"/>
  <bookViews>
    <workbookView xWindow="13200" yWindow="620" windowWidth="23180" windowHeight="226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E20" i="1"/>
  <c r="D20" i="1"/>
</calcChain>
</file>

<file path=xl/sharedStrings.xml><?xml version="1.0" encoding="utf-8"?>
<sst xmlns="http://schemas.openxmlformats.org/spreadsheetml/2006/main" count="45" uniqueCount="37">
  <si>
    <t xml:space="preserve">Rajpardi Lignite Mine Production,Sales Data </t>
  </si>
  <si>
    <t>Description</t>
  </si>
  <si>
    <t>Daily Quantity</t>
  </si>
  <si>
    <t>Cumulative Monthly Quantity</t>
  </si>
  <si>
    <t>Cumulative Yearly
Quantity</t>
  </si>
  <si>
    <t>Last Year Comparison</t>
  </si>
  <si>
    <t>Remaining stock of Lignite (In MT
approx.)</t>
  </si>
  <si>
    <t>On date</t>
  </si>
  <si>
    <t>FY 2025-26</t>
  </si>
  <si>
    <t>FY 2024-25</t>
  </si>
  <si>
    <t>Lignite</t>
  </si>
  <si>
    <t>Ball Clay</t>
  </si>
  <si>
    <t>-</t>
  </si>
  <si>
    <t>SILICA EQM LTS</t>
  </si>
  <si>
    <t>SILICA ABHIRAJ EOI</t>
  </si>
  <si>
    <t>SILICA ABS LTS</t>
  </si>
  <si>
    <t>SILICA ALPHA LTS</t>
  </si>
  <si>
    <t>SILICA GM LTS</t>
  </si>
  <si>
    <t>SILICA KULLP LTS</t>
  </si>
  <si>
    <t>SILICA MMCL LTS</t>
  </si>
  <si>
    <t>SILICA MMPL LTS</t>
  </si>
  <si>
    <t>SILICA SAND LTS</t>
  </si>
  <si>
    <t>SILICA SHM LTS</t>
  </si>
  <si>
    <t>SILICA SRM LTS</t>
  </si>
  <si>
    <t>SILICA SAND</t>
  </si>
  <si>
    <t>Cumulative Silica Sand</t>
  </si>
  <si>
    <t>OBR in M3</t>
  </si>
  <si>
    <t>RAINFALL(In mm)</t>
  </si>
  <si>
    <t>Pumping Details Sump. no : 01</t>
  </si>
  <si>
    <t>Nos. of Pump</t>
  </si>
  <si>
    <t>Total 10 Pumps of 180HP</t>
  </si>
  <si>
    <t>Pumping Hours</t>
  </si>
  <si>
    <t>Pumping Qty. (M3)</t>
  </si>
  <si>
    <t>Remaining Water
Qty. (M3) in Sumps</t>
  </si>
  <si>
    <t>Sump.no.01 : 7 LacM3</t>
  </si>
  <si>
    <t>SILICA AE LTS</t>
  </si>
  <si>
    <t>Date: 21-01-2026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</si>
</sst>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yyyy"/>
    <numFmt numFmtId="165" formatCode="0.000"/>
    <numFmt numFmtId="166" formatCode="00"/>
    <numFmt numFmtId="167" formatCode="000"/>
  </numFmts>
  <fonts count="14" x14ac:knownFonts="1">
    <font>
      <sz val="10"/>
      <color rgb="FF000000"/>
      <name val="Times New Roman"/>
      <scheme val="minor"/>
    </font>
    <font>
      <sz val="14"/>
      <color rgb="FF000000"/>
      <name val="Times New Roman"/>
      <family val="1"/>
    </font>
    <font>
      <b/>
      <sz val="20"/>
      <color rgb="FF000000"/>
      <name val="Times New Roman"/>
      <family val="1"/>
    </font>
    <font>
      <sz val="14"/>
      <color theme="1"/>
      <name val="Times New Roman"/>
      <family val="1"/>
    </font>
    <font>
      <b/>
      <sz val="18"/>
      <color rgb="FF000000"/>
      <name val="Times New Roman"/>
      <family val="1"/>
    </font>
    <font>
      <b/>
      <sz val="18"/>
      <color rgb="FF000007"/>
      <name val="Cambria"/>
      <family val="1"/>
    </font>
    <font>
      <b/>
      <sz val="18"/>
      <color theme="1"/>
      <name val="Cambria"/>
      <family val="1"/>
    </font>
    <font>
      <sz val="18"/>
      <color rgb="FF000000"/>
      <name val="Times New Roman"/>
      <family val="1"/>
    </font>
    <font>
      <b/>
      <i/>
      <sz val="18"/>
      <color theme="1"/>
      <name val="Cambria"/>
      <family val="1"/>
    </font>
    <font>
      <b/>
      <i/>
      <sz val="18"/>
      <color rgb="FF000007"/>
      <name val="Cambria"/>
      <family val="1"/>
    </font>
    <font>
      <b/>
      <sz val="18"/>
      <color theme="1"/>
      <name val="Times New Roman"/>
      <family val="1"/>
    </font>
    <font>
      <b/>
      <sz val="18"/>
      <color rgb="FF000007"/>
      <name val="Times New Roman"/>
      <family val="1"/>
    </font>
    <font>
      <b/>
      <sz val="18"/>
      <color rgb="FF000000"/>
      <name val="Times New Roman"/>
      <family val="1"/>
      <scheme val="minor"/>
    </font>
    <font>
      <b/>
      <sz val="10"/>
      <color rgb="FF000000"/>
      <name val="Times New Roman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164" fontId="9" fillId="0" borderId="6" xfId="0" applyNumberFormat="1" applyFont="1" applyBorder="1" applyAlignment="1">
      <alignment horizontal="center" vertical="top" wrapText="1"/>
    </xf>
    <xf numFmtId="0" fontId="7" fillId="0" borderId="6" xfId="0" applyFont="1" applyBorder="1" applyAlignment="1">
      <alignment horizontal="left" wrapText="1"/>
    </xf>
    <xf numFmtId="0" fontId="7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center" vertical="top" shrinkToFit="1"/>
    </xf>
    <xf numFmtId="165" fontId="4" fillId="0" borderId="7" xfId="0" applyNumberFormat="1" applyFont="1" applyBorder="1" applyAlignment="1">
      <alignment horizontal="center" vertical="top" shrinkToFit="1"/>
    </xf>
    <xf numFmtId="165" fontId="4" fillId="0" borderId="6" xfId="0" applyNumberFormat="1" applyFont="1" applyBorder="1" applyAlignment="1">
      <alignment horizontal="center" vertical="top" shrinkToFit="1"/>
    </xf>
    <xf numFmtId="165" fontId="10" fillId="0" borderId="6" xfId="0" applyNumberFormat="1" applyFont="1" applyBorder="1" applyAlignment="1">
      <alignment horizontal="center" vertical="top"/>
    </xf>
    <xf numFmtId="165" fontId="4" fillId="0" borderId="10" xfId="0" applyNumberFormat="1" applyFont="1" applyBorder="1" applyAlignment="1">
      <alignment horizontal="center" vertical="top" shrinkToFit="1"/>
    </xf>
    <xf numFmtId="0" fontId="10" fillId="0" borderId="6" xfId="0" applyFont="1" applyBorder="1" applyAlignment="1">
      <alignment horizontal="center" vertical="top" wrapText="1"/>
    </xf>
    <xf numFmtId="166" fontId="4" fillId="0" borderId="6" xfId="0" applyNumberFormat="1" applyFont="1" applyBorder="1" applyAlignment="1">
      <alignment horizontal="center" vertical="top" shrinkToFit="1"/>
    </xf>
    <xf numFmtId="0" fontId="10" fillId="0" borderId="6" xfId="0" applyFont="1" applyBorder="1" applyAlignment="1">
      <alignment horizontal="left" vertical="top" wrapText="1"/>
    </xf>
    <xf numFmtId="167" fontId="4" fillId="0" borderId="6" xfId="0" applyNumberFormat="1" applyFont="1" applyBorder="1" applyAlignment="1">
      <alignment horizontal="center" vertical="top" shrinkToFit="1"/>
    </xf>
    <xf numFmtId="0" fontId="10" fillId="0" borderId="6" xfId="0" applyFont="1" applyBorder="1" applyAlignment="1">
      <alignment horizontal="center" vertical="center" wrapText="1"/>
    </xf>
    <xf numFmtId="165" fontId="12" fillId="2" borderId="14" xfId="0" applyNumberFormat="1" applyFont="1" applyFill="1" applyBorder="1" applyAlignment="1">
      <alignment horizontal="center"/>
    </xf>
    <xf numFmtId="0" fontId="0" fillId="0" borderId="0" xfId="0"/>
    <xf numFmtId="0" fontId="10" fillId="0" borderId="6" xfId="0" applyFont="1" applyBorder="1" applyAlignment="1">
      <alignment horizontal="left" vertical="top" wrapText="1"/>
    </xf>
    <xf numFmtId="0" fontId="0" fillId="0" borderId="3" xfId="0" applyBorder="1"/>
    <xf numFmtId="165" fontId="4" fillId="0" borderId="3" xfId="0" applyNumberFormat="1" applyFont="1" applyBorder="1" applyAlignment="1">
      <alignment horizontal="center" vertical="center" shrinkToFit="1"/>
    </xf>
    <xf numFmtId="0" fontId="0" fillId="0" borderId="12" xfId="0" applyBorder="1"/>
    <xf numFmtId="0" fontId="0" fillId="0" borderId="9" xfId="0" applyBorder="1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6" xfId="0" applyFont="1" applyBorder="1" applyAlignment="1">
      <alignment horizontal="right" vertical="center" wrapText="1"/>
    </xf>
    <xf numFmtId="0" fontId="0" fillId="0" borderId="2" xfId="0" applyBorder="1"/>
    <xf numFmtId="0" fontId="7" fillId="0" borderId="6" xfId="0" applyFont="1" applyBorder="1" applyAlignment="1">
      <alignment horizontal="left" vertical="top" wrapText="1"/>
    </xf>
    <xf numFmtId="0" fontId="0" fillId="0" borderId="10" xfId="0" applyBorder="1"/>
    <xf numFmtId="0" fontId="5" fillId="0" borderId="6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10" fillId="0" borderId="6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left" vertical="top" wrapText="1"/>
    </xf>
    <xf numFmtId="0" fontId="0" fillId="0" borderId="13" xfId="0" applyBorder="1"/>
    <xf numFmtId="0" fontId="10" fillId="0" borderId="6" xfId="0" applyFont="1" applyBorder="1" applyAlignment="1">
      <alignment horizontal="center" vertical="center" wrapText="1"/>
    </xf>
    <xf numFmtId="0" fontId="0" fillId="0" borderId="11" xfId="0" applyBorder="1"/>
    <xf numFmtId="0" fontId="4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  <xf numFmtId="0" fontId="13" fillId="0" borderId="10" xfId="0" applyFont="1" applyBorder="1"/>
    <xf numFmtId="0" fontId="1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G7" sqref="G7:G20"/>
    </sheetView>
  </sheetViews>
  <sheetFormatPr baseColWidth="10" defaultColWidth="14.3984375" defaultRowHeight="15" customHeight="1" x14ac:dyDescent="0.15"/>
  <cols>
    <col min="1" max="1" width="5.796875" style="21" customWidth="1"/>
    <col min="2" max="2" width="10" style="21" customWidth="1"/>
    <col min="3" max="3" width="33.19921875" style="21" customWidth="1"/>
    <col min="4" max="4" width="31.3984375" style="21" customWidth="1"/>
    <col min="5" max="5" width="33.19921875" style="21" customWidth="1"/>
    <col min="6" max="6" width="32.3984375" style="21" customWidth="1"/>
    <col min="7" max="7" width="30" style="21" customWidth="1"/>
    <col min="8" max="8" width="38.3984375" style="21" customWidth="1"/>
    <col min="9" max="26" width="8.796875" style="21" customWidth="1"/>
  </cols>
  <sheetData>
    <row r="1" spans="1:26" ht="46" customHeight="1" x14ac:dyDescent="0.15">
      <c r="A1" s="27" t="s">
        <v>0</v>
      </c>
      <c r="B1" s="28"/>
      <c r="C1" s="28"/>
      <c r="D1" s="28"/>
      <c r="E1" s="28"/>
      <c r="F1" s="28"/>
      <c r="G1" s="28"/>
      <c r="H1" s="2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x14ac:dyDescent="0.15">
      <c r="A2" s="29" t="s">
        <v>36</v>
      </c>
      <c r="B2" s="30"/>
      <c r="C2" s="30"/>
      <c r="D2" s="30"/>
      <c r="E2" s="30"/>
      <c r="F2" s="30"/>
      <c r="G2" s="30"/>
      <c r="H2" s="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6" customHeight="1" x14ac:dyDescent="0.15">
      <c r="A3" s="33" t="s">
        <v>1</v>
      </c>
      <c r="B3" s="34"/>
      <c r="C3" s="35"/>
      <c r="D3" s="3" t="s">
        <v>2</v>
      </c>
      <c r="E3" s="4" t="s">
        <v>3</v>
      </c>
      <c r="F3" s="42" t="s">
        <v>4</v>
      </c>
      <c r="G3" s="5" t="s">
        <v>5</v>
      </c>
      <c r="H3" s="43" t="s">
        <v>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15">
      <c r="A4" s="36"/>
      <c r="B4" s="28"/>
      <c r="C4" s="26"/>
      <c r="D4" s="6" t="s">
        <v>7</v>
      </c>
      <c r="E4" s="7">
        <v>46023</v>
      </c>
      <c r="F4" s="6" t="s">
        <v>8</v>
      </c>
      <c r="G4" s="6" t="s">
        <v>9</v>
      </c>
      <c r="H4" s="44"/>
      <c r="I4" s="1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" customHeight="1" x14ac:dyDescent="0.15">
      <c r="A5" s="10">
        <v>1</v>
      </c>
      <c r="B5" s="22" t="s">
        <v>10</v>
      </c>
      <c r="C5" s="23"/>
      <c r="D5" s="11">
        <v>0</v>
      </c>
      <c r="E5" s="11">
        <v>0</v>
      </c>
      <c r="F5" s="11">
        <v>0</v>
      </c>
      <c r="G5" s="12">
        <v>114267.93</v>
      </c>
      <c r="H5" s="12"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9" customHeight="1" x14ac:dyDescent="0.25">
      <c r="A6" s="10">
        <v>2</v>
      </c>
      <c r="B6" s="22" t="s">
        <v>11</v>
      </c>
      <c r="C6" s="23"/>
      <c r="D6" s="13">
        <v>0</v>
      </c>
      <c r="E6" s="13">
        <v>4653.62</v>
      </c>
      <c r="F6" s="13">
        <v>58342.205000000002</v>
      </c>
      <c r="G6" s="20">
        <v>1133680.78</v>
      </c>
      <c r="H6" s="40" t="s">
        <v>12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9" customHeight="1" x14ac:dyDescent="0.15">
      <c r="A7" s="10">
        <v>3</v>
      </c>
      <c r="B7" s="22" t="s">
        <v>13</v>
      </c>
      <c r="C7" s="23"/>
      <c r="D7" s="13">
        <v>4110.2950000000001</v>
      </c>
      <c r="E7" s="13">
        <v>42169.434999999998</v>
      </c>
      <c r="F7" s="13">
        <v>347514.34</v>
      </c>
      <c r="G7" s="24">
        <v>513138.74</v>
      </c>
      <c r="H7" s="4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9" customHeight="1" x14ac:dyDescent="0.15">
      <c r="A8" s="10">
        <v>4</v>
      </c>
      <c r="B8" s="22" t="s">
        <v>14</v>
      </c>
      <c r="C8" s="23"/>
      <c r="D8" s="13">
        <v>3009.3449999999998</v>
      </c>
      <c r="E8" s="13">
        <v>28951.255000000001</v>
      </c>
      <c r="F8" s="13">
        <v>188039.58499999999</v>
      </c>
      <c r="G8" s="25"/>
      <c r="H8" s="4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9" customHeight="1" x14ac:dyDescent="0.15">
      <c r="A9" s="10">
        <v>5</v>
      </c>
      <c r="B9" s="22" t="s">
        <v>15</v>
      </c>
      <c r="C9" s="23"/>
      <c r="D9" s="13">
        <v>0</v>
      </c>
      <c r="E9" s="13">
        <v>1097.99</v>
      </c>
      <c r="F9" s="13">
        <v>8409.18</v>
      </c>
      <c r="G9" s="25"/>
      <c r="H9" s="4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" customHeight="1" x14ac:dyDescent="0.15">
      <c r="A10" s="10">
        <v>6</v>
      </c>
      <c r="B10" s="22" t="s">
        <v>35</v>
      </c>
      <c r="C10" s="23"/>
      <c r="D10" s="13">
        <v>84.88</v>
      </c>
      <c r="E10" s="13">
        <v>84.88</v>
      </c>
      <c r="F10" s="13">
        <v>84.88</v>
      </c>
      <c r="G10" s="25"/>
      <c r="H10" s="4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" customHeight="1" x14ac:dyDescent="0.15">
      <c r="A11" s="10">
        <v>7</v>
      </c>
      <c r="B11" s="22" t="s">
        <v>16</v>
      </c>
      <c r="C11" s="23"/>
      <c r="D11" s="13">
        <v>110.895</v>
      </c>
      <c r="E11" s="13">
        <v>1127.8050000000001</v>
      </c>
      <c r="F11" s="13">
        <v>11837.57</v>
      </c>
      <c r="G11" s="25"/>
      <c r="H11" s="4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9" customHeight="1" x14ac:dyDescent="0.15">
      <c r="A12" s="10">
        <v>8</v>
      </c>
      <c r="B12" s="22" t="s">
        <v>17</v>
      </c>
      <c r="C12" s="23"/>
      <c r="D12" s="13">
        <v>1176.1849999999999</v>
      </c>
      <c r="E12" s="13">
        <v>10919.77</v>
      </c>
      <c r="F12" s="13">
        <v>37201.925000000003</v>
      </c>
      <c r="G12" s="25"/>
      <c r="H12" s="4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9" customHeight="1" x14ac:dyDescent="0.15">
      <c r="A13" s="10">
        <v>9</v>
      </c>
      <c r="B13" s="38" t="s">
        <v>18</v>
      </c>
      <c r="C13" s="23"/>
      <c r="D13" s="13">
        <v>0</v>
      </c>
      <c r="E13" s="13">
        <v>3043.29</v>
      </c>
      <c r="F13" s="13">
        <v>13517.34</v>
      </c>
      <c r="G13" s="25"/>
      <c r="H13" s="4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9" customHeight="1" x14ac:dyDescent="0.15">
      <c r="A14" s="10">
        <v>10</v>
      </c>
      <c r="B14" s="22" t="s">
        <v>19</v>
      </c>
      <c r="C14" s="23"/>
      <c r="D14" s="13">
        <v>0</v>
      </c>
      <c r="E14" s="13">
        <v>0</v>
      </c>
      <c r="F14" s="13">
        <v>22.52</v>
      </c>
      <c r="G14" s="25"/>
      <c r="H14" s="4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9" customHeight="1" x14ac:dyDescent="0.15">
      <c r="A15" s="10">
        <v>11</v>
      </c>
      <c r="B15" s="22" t="s">
        <v>20</v>
      </c>
      <c r="C15" s="23"/>
      <c r="D15" s="13">
        <v>352.32</v>
      </c>
      <c r="E15" s="13">
        <v>4793.9250000000002</v>
      </c>
      <c r="F15" s="13">
        <v>6635.085</v>
      </c>
      <c r="G15" s="25"/>
      <c r="H15" s="4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9" customHeight="1" x14ac:dyDescent="0.15">
      <c r="A16" s="10">
        <v>12</v>
      </c>
      <c r="B16" s="22" t="s">
        <v>21</v>
      </c>
      <c r="C16" s="23"/>
      <c r="D16" s="13">
        <v>6491.3850000000002</v>
      </c>
      <c r="E16" s="13">
        <v>65992.66</v>
      </c>
      <c r="F16" s="13">
        <v>751794.21499999997</v>
      </c>
      <c r="G16" s="25"/>
      <c r="H16" s="4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9" customHeight="1" x14ac:dyDescent="0.15">
      <c r="A17" s="10">
        <v>13</v>
      </c>
      <c r="B17" s="22" t="s">
        <v>22</v>
      </c>
      <c r="C17" s="23"/>
      <c r="D17" s="13">
        <v>0</v>
      </c>
      <c r="E17" s="13">
        <v>0</v>
      </c>
      <c r="F17" s="13">
        <v>910.49</v>
      </c>
      <c r="G17" s="25"/>
      <c r="H17" s="4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9" customHeight="1" x14ac:dyDescent="0.15">
      <c r="A18" s="10">
        <v>14</v>
      </c>
      <c r="B18" s="22" t="s">
        <v>23</v>
      </c>
      <c r="C18" s="23"/>
      <c r="D18" s="13">
        <v>2526.2399999999998</v>
      </c>
      <c r="E18" s="13">
        <v>19653.145</v>
      </c>
      <c r="F18" s="13">
        <v>34791.769999999997</v>
      </c>
      <c r="G18" s="25"/>
      <c r="H18" s="4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9" customHeight="1" x14ac:dyDescent="0.15">
      <c r="A19" s="10">
        <v>15</v>
      </c>
      <c r="B19" s="22" t="s">
        <v>24</v>
      </c>
      <c r="C19" s="23"/>
      <c r="D19" s="13">
        <v>780.24</v>
      </c>
      <c r="E19" s="13">
        <v>3872.125</v>
      </c>
      <c r="F19" s="13">
        <v>113614.485</v>
      </c>
      <c r="G19" s="25"/>
      <c r="H19" s="4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9" customHeight="1" x14ac:dyDescent="0.15">
      <c r="A20" s="10">
        <v>16</v>
      </c>
      <c r="B20" s="22" t="s">
        <v>25</v>
      </c>
      <c r="C20" s="23"/>
      <c r="D20" s="13">
        <f>SUM(D7:D19)</f>
        <v>18641.785</v>
      </c>
      <c r="E20" s="13">
        <f>SUM(E7:E19)</f>
        <v>181706.28</v>
      </c>
      <c r="F20" s="13">
        <f>SUM(F7:F19)</f>
        <v>1514373.3850000002</v>
      </c>
      <c r="G20" s="26"/>
      <c r="H20" s="3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9" customHeight="1" x14ac:dyDescent="0.15">
      <c r="A21" s="10">
        <v>17</v>
      </c>
      <c r="B21" s="43" t="s">
        <v>26</v>
      </c>
      <c r="C21" s="45"/>
      <c r="D21" s="14">
        <v>0</v>
      </c>
      <c r="E21" s="14">
        <v>0</v>
      </c>
      <c r="F21" s="14">
        <v>0</v>
      </c>
      <c r="G21" s="10">
        <v>1937905</v>
      </c>
      <c r="H21" s="15" t="s">
        <v>12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9" customHeight="1" x14ac:dyDescent="0.25">
      <c r="A22" s="8"/>
      <c r="B22" s="22" t="s">
        <v>27</v>
      </c>
      <c r="C22" s="23"/>
      <c r="D22" s="16">
        <v>0</v>
      </c>
      <c r="E22" s="16">
        <v>0</v>
      </c>
      <c r="F22" s="10">
        <v>1606</v>
      </c>
      <c r="G22" s="10">
        <v>1718</v>
      </c>
      <c r="H22" s="15" t="s">
        <v>12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7" customHeight="1" x14ac:dyDescent="0.15">
      <c r="A23" s="37" t="s">
        <v>28</v>
      </c>
      <c r="B23" s="35"/>
      <c r="C23" s="17" t="s">
        <v>29</v>
      </c>
      <c r="D23" s="37" t="s">
        <v>30</v>
      </c>
      <c r="E23" s="30"/>
      <c r="F23" s="30"/>
      <c r="G23" s="30"/>
      <c r="H23" s="2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7.5" customHeight="1" x14ac:dyDescent="0.15">
      <c r="A24" s="39"/>
      <c r="B24" s="25"/>
      <c r="C24" s="17" t="s">
        <v>31</v>
      </c>
      <c r="D24" s="16">
        <v>0</v>
      </c>
      <c r="E24" s="16">
        <v>0</v>
      </c>
      <c r="F24" s="10">
        <v>3019</v>
      </c>
      <c r="G24" s="15" t="s">
        <v>12</v>
      </c>
      <c r="H24" s="15" t="s">
        <v>12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8.75" customHeight="1" x14ac:dyDescent="0.15">
      <c r="A25" s="39"/>
      <c r="B25" s="25"/>
      <c r="C25" s="9" t="s">
        <v>32</v>
      </c>
      <c r="D25" s="18">
        <v>0</v>
      </c>
      <c r="E25" s="18">
        <v>0</v>
      </c>
      <c r="F25" s="10">
        <v>648643</v>
      </c>
      <c r="G25" s="19" t="s">
        <v>12</v>
      </c>
      <c r="H25" s="19" t="s">
        <v>12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7.75" customHeight="1" x14ac:dyDescent="0.15">
      <c r="A26" s="36"/>
      <c r="B26" s="26"/>
      <c r="C26" s="9" t="s">
        <v>33</v>
      </c>
      <c r="D26" s="31" t="s">
        <v>34</v>
      </c>
      <c r="E26" s="30"/>
      <c r="F26" s="23"/>
      <c r="G26" s="15" t="s">
        <v>12</v>
      </c>
      <c r="H26" s="15" t="s">
        <v>12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7">
    <mergeCell ref="D23:H23"/>
    <mergeCell ref="B13:C13"/>
    <mergeCell ref="B22:C22"/>
    <mergeCell ref="B12:C12"/>
    <mergeCell ref="B15:C15"/>
    <mergeCell ref="A23:B26"/>
    <mergeCell ref="B18:C18"/>
    <mergeCell ref="D26:F26"/>
    <mergeCell ref="B14:C14"/>
    <mergeCell ref="B20:C20"/>
    <mergeCell ref="H6:H20"/>
    <mergeCell ref="B9:C9"/>
    <mergeCell ref="B6:C6"/>
    <mergeCell ref="B16:C16"/>
    <mergeCell ref="B21:C21"/>
    <mergeCell ref="B17:C17"/>
    <mergeCell ref="B7:C7"/>
    <mergeCell ref="G7:G20"/>
    <mergeCell ref="A1:H1"/>
    <mergeCell ref="B19:C19"/>
    <mergeCell ref="B8:C8"/>
    <mergeCell ref="A2:H2"/>
    <mergeCell ref="B11:C11"/>
    <mergeCell ref="H3:H4"/>
    <mergeCell ref="A3:C4"/>
    <mergeCell ref="B5:C5"/>
    <mergeCell ref="B10:C10"/>
  </mergeCells>
  <pageMargins left="0.7" right="0.7" top="0.75" bottom="0.75" header="0" footer="0"/>
  <pageSetup paperSize="9" orientation="portrait"/>
  <ignoredErrors>
    <ignoredError sqref="D20:F2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Kuldeepsingh Mahawar</dc:creator>
  <cp:lastModifiedBy>63</cp:lastModifiedBy>
  <dcterms:created xsi:type="dcterms:W3CDTF">2026-01-03T18:22:55Z</dcterms:created>
  <dcterms:modified xsi:type="dcterms:W3CDTF">2026-01-22T07:51:10Z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2026-01-03T00:00:00Z</vt:filetime>
  </property>
  <property fmtid="{D5CDD505-2E9C-101B-9397-08002B2CF9AE}" pid="3" name="Creator">
    <vt:lpwstr>www.smallpdf.com</vt:lpwstr>
  </property>
  <property fmtid="{D5CDD505-2E9C-101B-9397-08002B2CF9AE}" pid="4" name="LastSaved">
    <vt:filetime>2026-01-03T00:00:00Z</vt:filetime>
  </property>
  <property fmtid="{D5CDD505-2E9C-101B-9397-08002B2CF9AE}" pid="5" name="Producer">
    <vt:lpwstr>3-Heights(TM) PDF Security Shell 4.8.25.2 (http://www.pdf-tools.com)</vt:lpwstr>
  </property>
</Properties>
</file>